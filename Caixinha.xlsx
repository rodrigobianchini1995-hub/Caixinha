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go Bianchini\OneDrive\Desktop\Caixinha\"/>
    </mc:Choice>
  </mc:AlternateContent>
  <xr:revisionPtr revIDLastSave="0" documentId="13_ncr:1_{F1FE0953-D95D-4129-82B2-8827E2324838}" xr6:coauthVersionLast="47" xr6:coauthVersionMax="47" xr10:uidLastSave="{00000000-0000-0000-0000-000000000000}"/>
  <bookViews>
    <workbookView xWindow="-108" yWindow="-108" windowWidth="23256" windowHeight="12456" xr2:uid="{834A0066-F0B5-4D2F-9BFB-28413A2EDBB5}"/>
  </bookViews>
  <sheets>
    <sheet name="Caixinha" sheetId="1" r:id="rId1"/>
    <sheet name="Meta" sheetId="2" r:id="rId2"/>
    <sheet name="Soma Sald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7" i="1" l="1"/>
  <c r="B4" i="3"/>
  <c r="B5" i="3"/>
  <c r="B3" i="3"/>
  <c r="A5" i="3"/>
  <c r="A4" i="3"/>
  <c r="A3" i="3"/>
  <c r="B2" i="3"/>
  <c r="A2" i="3"/>
  <c r="H37" i="1"/>
  <c r="B3" i="1" l="1"/>
  <c r="B37" i="1"/>
  <c r="D37" i="1"/>
  <c r="E3" i="1" l="1"/>
  <c r="B6" i="3" s="1"/>
  <c r="B7" i="3" s="1"/>
  <c r="F1" i="2" l="1"/>
</calcChain>
</file>

<file path=xl/sharedStrings.xml><?xml version="1.0" encoding="utf-8"?>
<sst xmlns="http://schemas.openxmlformats.org/spreadsheetml/2006/main" count="49" uniqueCount="45">
  <si>
    <t>TOTAL</t>
  </si>
  <si>
    <t>Valor Atual</t>
  </si>
  <si>
    <t>Valor Meta</t>
  </si>
  <si>
    <t>1º Deposito</t>
  </si>
  <si>
    <t>2º Deposito</t>
  </si>
  <si>
    <t>3º Deposito</t>
  </si>
  <si>
    <t>4º Deposito</t>
  </si>
  <si>
    <t>5º Deposito</t>
  </si>
  <si>
    <t>6º Deposito</t>
  </si>
  <si>
    <t>7º Deposito</t>
  </si>
  <si>
    <t>8º Deposito</t>
  </si>
  <si>
    <t>9º Deposito</t>
  </si>
  <si>
    <t>10º Deposito</t>
  </si>
  <si>
    <t>Valor Meta Total</t>
  </si>
  <si>
    <t>Valor Meta Indívidual</t>
  </si>
  <si>
    <t>Saldo Atual</t>
  </si>
  <si>
    <t>Soma Saldo</t>
  </si>
  <si>
    <t>1. Dani</t>
  </si>
  <si>
    <t>2. Manu</t>
  </si>
  <si>
    <t>4. Rodrigo</t>
  </si>
  <si>
    <t>3. Julia</t>
  </si>
  <si>
    <t>11º Deposito</t>
  </si>
  <si>
    <t>12º Deposito</t>
  </si>
  <si>
    <t>13º Deposito</t>
  </si>
  <si>
    <t>JUROS</t>
  </si>
  <si>
    <t>Data</t>
  </si>
  <si>
    <t>14º Deposito</t>
  </si>
  <si>
    <t>15º Deposito</t>
  </si>
  <si>
    <t>16º Deposito</t>
  </si>
  <si>
    <t>17º Deposito</t>
  </si>
  <si>
    <t>18º Deposito</t>
  </si>
  <si>
    <t>19º Deposito</t>
  </si>
  <si>
    <t>20º Deposito</t>
  </si>
  <si>
    <t>21º Deposito</t>
  </si>
  <si>
    <t>22º Deposito</t>
  </si>
  <si>
    <t>23º Deposito</t>
  </si>
  <si>
    <t>24º Deposito</t>
  </si>
  <si>
    <t>25º Deposito</t>
  </si>
  <si>
    <t>26º Deposito</t>
  </si>
  <si>
    <t>27º Deposito</t>
  </si>
  <si>
    <t>Juros Acum</t>
  </si>
  <si>
    <t>Juros + Atual</t>
  </si>
  <si>
    <t>1ª RETIRADA</t>
  </si>
  <si>
    <t>2ª RETIRADA</t>
  </si>
  <si>
    <t>3ª RETIRADA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</si>
</sst>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44" fontId="0" fillId="0" borderId="1" xfId="1" applyFont="1" applyBorder="1"/>
    <xf numFmtId="44" fontId="0" fillId="0" borderId="0" xfId="1" applyFont="1" applyFill="1" applyBorder="1"/>
    <xf numFmtId="10" fontId="0" fillId="0" borderId="0" xfId="2" applyNumberFormat="1" applyFont="1"/>
    <xf numFmtId="44" fontId="0" fillId="0" borderId="1" xfId="1" applyFont="1" applyFill="1" applyBorder="1"/>
    <xf numFmtId="44" fontId="0" fillId="0" borderId="1" xfId="0" applyNumberFormat="1" applyBorder="1"/>
    <xf numFmtId="0" fontId="2" fillId="0" borderId="1" xfId="0" applyFont="1" applyBorder="1"/>
    <xf numFmtId="44" fontId="0" fillId="0" borderId="0" xfId="0" applyNumberFormat="1" applyBorder="1"/>
    <xf numFmtId="164" fontId="0" fillId="0" borderId="0" xfId="0" applyNumberFormat="1"/>
    <xf numFmtId="44" fontId="0" fillId="0" borderId="0" xfId="0" applyNumberFormat="1"/>
    <xf numFmtId="14" fontId="0" fillId="0" borderId="1" xfId="0" applyNumberFormat="1" applyBorder="1"/>
    <xf numFmtId="44" fontId="0" fillId="0" borderId="0" xfId="1" applyFont="1"/>
    <xf numFmtId="44" fontId="3" fillId="0" borderId="1" xfId="1" applyFont="1" applyBorder="1"/>
    <xf numFmtId="2" fontId="0" fillId="0" borderId="0" xfId="0" applyNumberFormat="1"/>
    <xf numFmtId="0" fontId="0" fillId="2" borderId="1" xfId="0" applyFill="1" applyBorder="1"/>
    <xf numFmtId="44" fontId="0" fillId="2" borderId="1" xfId="1" applyFont="1" applyFill="1" applyBorder="1"/>
    <xf numFmtId="14" fontId="0" fillId="2" borderId="1" xfId="0" applyNumberFormat="1" applyFill="1" applyBorder="1"/>
    <xf numFmtId="0" fontId="3" fillId="0" borderId="1" xfId="0" applyFont="1" applyBorder="1"/>
    <xf numFmtId="44" fontId="3" fillId="2" borderId="1" xfId="1" applyFont="1" applyFill="1" applyBorder="1"/>
    <xf numFmtId="14" fontId="3" fillId="2" borderId="1" xfId="0" applyNumberFormat="1" applyFont="1" applyFill="1" applyBorder="1"/>
    <xf numFmtId="14" fontId="3" fillId="0" borderId="1" xfId="0" applyNumberFormat="1" applyFont="1" applyBorder="1"/>
    <xf numFmtId="14" fontId="3" fillId="0" borderId="1" xfId="1" applyNumberFormat="1" applyFont="1" applyBorder="1"/>
    <xf numFmtId="44" fontId="2" fillId="0" borderId="0" xfId="1" applyFont="1" applyFill="1" applyBorder="1"/>
    <xf numFmtId="44" fontId="0" fillId="3" borderId="0" xfId="0" applyNumberFormat="1" applyFill="1" applyBorder="1"/>
    <xf numFmtId="0" fontId="5" fillId="0" borderId="1" xfId="0" applyFont="1" applyBorder="1"/>
    <xf numFmtId="44" fontId="6" fillId="0" borderId="1" xfId="0" applyNumberFormat="1" applyFont="1" applyBorder="1"/>
    <xf numFmtId="0" fontId="6" fillId="0" borderId="1" xfId="0" applyFont="1" applyBorder="1"/>
    <xf numFmtId="44" fontId="5" fillId="3" borderId="1" xfId="1" applyFont="1" applyFill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29DC2-B418-43AF-8765-A951438B4AB4}">
  <dimension ref="A2:V37"/>
  <sheetViews>
    <sheetView showGridLines="0" tabSelected="1" workbookViewId="0">
      <selection activeCell="E2" sqref="E2"/>
    </sheetView>
  </sheetViews>
  <sheetFormatPr defaultRowHeight="14.4" x14ac:dyDescent="0.3"/>
  <cols>
    <col min="1" max="1" width="32.88671875" bestFit="1" customWidth="1"/>
    <col min="2" max="2" width="13.44140625" bestFit="1" customWidth="1"/>
    <col min="3" max="3" width="13.33203125" customWidth="1"/>
    <col min="4" max="4" width="12.21875" bestFit="1" customWidth="1"/>
    <col min="5" max="5" width="13.33203125" customWidth="1"/>
    <col min="6" max="6" width="13.109375" bestFit="1" customWidth="1"/>
    <col min="7" max="7" width="13.33203125" customWidth="1"/>
    <col min="8" max="8" width="12.21875" bestFit="1" customWidth="1"/>
    <col min="9" max="9" width="12.109375" customWidth="1"/>
    <col min="10" max="10" width="12.109375" bestFit="1" customWidth="1"/>
    <col min="11" max="11" width="12.109375" customWidth="1"/>
    <col min="12" max="12" width="12.109375" bestFit="1" customWidth="1"/>
    <col min="13" max="13" width="12.109375" customWidth="1"/>
    <col min="14" max="14" width="12.88671875" bestFit="1" customWidth="1"/>
    <col min="15" max="15" width="12.109375" customWidth="1"/>
    <col min="16" max="16" width="12.109375" bestFit="1" customWidth="1"/>
    <col min="17" max="17" width="12.109375" customWidth="1"/>
    <col min="18" max="18" width="12.88671875" bestFit="1" customWidth="1"/>
    <col min="19" max="19" width="12.109375" customWidth="1"/>
    <col min="20" max="20" width="12.109375" bestFit="1" customWidth="1"/>
    <col min="21" max="21" width="12.33203125" bestFit="1" customWidth="1"/>
    <col min="22" max="22" width="12" bestFit="1" customWidth="1"/>
    <col min="23" max="23" width="11.88671875" bestFit="1" customWidth="1"/>
    <col min="24" max="24" width="12" bestFit="1" customWidth="1"/>
    <col min="25" max="25" width="11.88671875" bestFit="1" customWidth="1"/>
    <col min="26" max="26" width="12" bestFit="1" customWidth="1"/>
    <col min="27" max="28" width="11.88671875" bestFit="1" customWidth="1"/>
  </cols>
  <sheetData>
    <row r="2" spans="1:22" x14ac:dyDescent="0.3">
      <c r="A2" s="7" t="s">
        <v>2</v>
      </c>
      <c r="B2" s="5">
        <v>12000</v>
      </c>
      <c r="C2" s="3"/>
      <c r="D2" t="s">
        <v>41</v>
      </c>
      <c r="E2" s="23">
        <v>4116.75</v>
      </c>
      <c r="G2" s="3"/>
    </row>
    <row r="3" spans="1:22" x14ac:dyDescent="0.3">
      <c r="A3" s="7" t="s">
        <v>1</v>
      </c>
      <c r="B3" s="6">
        <f>B37+D37+F37+H37</f>
        <v>3829.26</v>
      </c>
      <c r="C3" s="8"/>
      <c r="D3" t="s">
        <v>40</v>
      </c>
      <c r="E3" s="24">
        <f>E2-B3</f>
        <v>287.48999999999978</v>
      </c>
      <c r="F3" s="10"/>
      <c r="G3" s="8"/>
    </row>
    <row r="4" spans="1:22" x14ac:dyDescent="0.3">
      <c r="B4" s="4"/>
      <c r="C4" s="4"/>
      <c r="E4" s="4"/>
      <c r="G4" s="4"/>
    </row>
    <row r="5" spans="1:22" x14ac:dyDescent="0.3">
      <c r="R5" s="10"/>
    </row>
    <row r="6" spans="1:22" x14ac:dyDescent="0.3">
      <c r="A6" s="1"/>
      <c r="B6" s="15" t="s">
        <v>17</v>
      </c>
      <c r="C6" s="15" t="s">
        <v>25</v>
      </c>
      <c r="D6" s="1" t="s">
        <v>18</v>
      </c>
      <c r="E6" s="1" t="s">
        <v>25</v>
      </c>
      <c r="F6" s="15" t="s">
        <v>20</v>
      </c>
      <c r="G6" s="15" t="s">
        <v>25</v>
      </c>
      <c r="H6" s="1" t="s">
        <v>19</v>
      </c>
      <c r="I6" s="1" t="s">
        <v>25</v>
      </c>
      <c r="R6" s="12"/>
      <c r="V6" s="14"/>
    </row>
    <row r="7" spans="1:22" x14ac:dyDescent="0.3">
      <c r="A7" s="1" t="s">
        <v>3</v>
      </c>
      <c r="B7" s="16">
        <v>250</v>
      </c>
      <c r="C7" s="17">
        <v>45842</v>
      </c>
      <c r="D7" s="2">
        <v>250</v>
      </c>
      <c r="E7" s="11">
        <v>45838</v>
      </c>
      <c r="F7" s="16">
        <v>250</v>
      </c>
      <c r="G7" s="17">
        <v>45843</v>
      </c>
      <c r="H7" s="2">
        <v>250</v>
      </c>
      <c r="I7" s="11">
        <v>45838</v>
      </c>
      <c r="R7" s="10"/>
      <c r="V7" s="14"/>
    </row>
    <row r="8" spans="1:22" x14ac:dyDescent="0.3">
      <c r="A8" s="1" t="s">
        <v>4</v>
      </c>
      <c r="B8" s="16">
        <v>50</v>
      </c>
      <c r="C8" s="17">
        <v>45845</v>
      </c>
      <c r="D8" s="2">
        <v>250</v>
      </c>
      <c r="E8" s="11">
        <v>45874</v>
      </c>
      <c r="F8" s="16">
        <v>250</v>
      </c>
      <c r="G8" s="17">
        <v>45874</v>
      </c>
      <c r="H8" s="2">
        <v>150</v>
      </c>
      <c r="I8" s="11">
        <v>45870</v>
      </c>
      <c r="V8" s="14"/>
    </row>
    <row r="9" spans="1:22" x14ac:dyDescent="0.3">
      <c r="A9" s="1" t="s">
        <v>5</v>
      </c>
      <c r="B9" s="16">
        <v>250</v>
      </c>
      <c r="C9" s="17">
        <v>45875</v>
      </c>
      <c r="D9" s="2">
        <v>250</v>
      </c>
      <c r="E9" s="11">
        <v>45909</v>
      </c>
      <c r="F9" s="16">
        <v>250</v>
      </c>
      <c r="G9" s="17">
        <v>45903</v>
      </c>
      <c r="H9" s="2">
        <v>250</v>
      </c>
      <c r="I9" s="11">
        <v>45910</v>
      </c>
      <c r="V9" s="14"/>
    </row>
    <row r="10" spans="1:22" x14ac:dyDescent="0.3">
      <c r="A10" s="1" t="s">
        <v>6</v>
      </c>
      <c r="B10" s="16">
        <v>250</v>
      </c>
      <c r="C10" s="17">
        <v>45905</v>
      </c>
      <c r="D10" s="2">
        <v>250</v>
      </c>
      <c r="E10" s="11">
        <v>45943</v>
      </c>
      <c r="F10" s="16">
        <v>250</v>
      </c>
      <c r="G10" s="17">
        <v>45937</v>
      </c>
      <c r="H10" s="2">
        <v>250</v>
      </c>
      <c r="I10" s="11">
        <v>45951</v>
      </c>
    </row>
    <row r="11" spans="1:22" x14ac:dyDescent="0.3">
      <c r="A11" s="1" t="s">
        <v>7</v>
      </c>
      <c r="B11" s="16">
        <v>10.84</v>
      </c>
      <c r="C11" s="17">
        <v>46029</v>
      </c>
      <c r="D11" s="2">
        <v>250</v>
      </c>
      <c r="E11" s="11">
        <v>46062</v>
      </c>
      <c r="F11" s="16">
        <v>250</v>
      </c>
      <c r="G11" s="17">
        <v>45966</v>
      </c>
      <c r="H11" s="2"/>
      <c r="I11" s="1"/>
    </row>
    <row r="12" spans="1:22" x14ac:dyDescent="0.3">
      <c r="A12" s="1" t="s">
        <v>8</v>
      </c>
      <c r="B12" s="16"/>
      <c r="C12" s="17"/>
      <c r="D12" s="2">
        <v>250</v>
      </c>
      <c r="E12" s="11">
        <v>46090</v>
      </c>
      <c r="F12" s="16">
        <v>250</v>
      </c>
      <c r="G12" s="17">
        <v>46014</v>
      </c>
      <c r="H12" s="2"/>
      <c r="I12" s="1"/>
    </row>
    <row r="13" spans="1:22" x14ac:dyDescent="0.3">
      <c r="A13" s="1" t="s">
        <v>9</v>
      </c>
      <c r="B13" s="16"/>
      <c r="C13" s="15"/>
      <c r="D13" s="2"/>
      <c r="E13" s="1"/>
      <c r="F13" s="16">
        <v>250</v>
      </c>
      <c r="G13" s="17">
        <v>46029</v>
      </c>
      <c r="H13" s="2"/>
      <c r="I13" s="1"/>
    </row>
    <row r="14" spans="1:22" x14ac:dyDescent="0.3">
      <c r="A14" s="1" t="s">
        <v>10</v>
      </c>
      <c r="B14" s="16"/>
      <c r="C14" s="15"/>
      <c r="D14" s="2"/>
      <c r="E14" s="11"/>
      <c r="F14" s="16">
        <v>250</v>
      </c>
      <c r="G14" s="17">
        <v>46059</v>
      </c>
      <c r="H14" s="2"/>
      <c r="I14" s="1"/>
    </row>
    <row r="15" spans="1:22" x14ac:dyDescent="0.3">
      <c r="A15" s="1" t="s">
        <v>11</v>
      </c>
      <c r="B15" s="16"/>
      <c r="C15" s="15"/>
      <c r="D15" s="2"/>
      <c r="E15" s="1"/>
      <c r="F15" s="16">
        <v>250</v>
      </c>
      <c r="G15" s="17">
        <v>46087</v>
      </c>
      <c r="H15" s="2"/>
      <c r="I15" s="1"/>
    </row>
    <row r="16" spans="1:22" x14ac:dyDescent="0.3">
      <c r="A16" s="1" t="s">
        <v>12</v>
      </c>
      <c r="B16" s="16"/>
      <c r="C16" s="15"/>
      <c r="D16" s="2"/>
      <c r="E16" s="1"/>
      <c r="F16" s="16">
        <v>250</v>
      </c>
      <c r="G16" s="17">
        <v>46118</v>
      </c>
      <c r="H16" s="2"/>
      <c r="I16" s="1"/>
    </row>
    <row r="17" spans="1:9" x14ac:dyDescent="0.3">
      <c r="A17" s="1" t="s">
        <v>21</v>
      </c>
      <c r="B17" s="16"/>
      <c r="C17" s="15"/>
      <c r="D17" s="2"/>
      <c r="E17" s="1"/>
      <c r="F17" s="16">
        <v>250</v>
      </c>
      <c r="G17" s="17">
        <v>46147</v>
      </c>
      <c r="H17" s="2"/>
      <c r="I17" s="1"/>
    </row>
    <row r="18" spans="1:9" x14ac:dyDescent="0.3">
      <c r="A18" s="1" t="s">
        <v>22</v>
      </c>
      <c r="B18" s="16"/>
      <c r="C18" s="15"/>
      <c r="D18" s="2"/>
      <c r="E18" s="1"/>
      <c r="F18" s="16">
        <v>250</v>
      </c>
      <c r="G18" s="17">
        <v>46208</v>
      </c>
      <c r="H18" s="2"/>
      <c r="I18" s="1"/>
    </row>
    <row r="19" spans="1:9" x14ac:dyDescent="0.3">
      <c r="A19" s="1" t="s">
        <v>23</v>
      </c>
      <c r="B19" s="16"/>
      <c r="C19" s="15"/>
      <c r="D19" s="2"/>
      <c r="E19" s="1"/>
      <c r="F19" s="16">
        <v>250</v>
      </c>
      <c r="G19" s="17">
        <v>46239</v>
      </c>
      <c r="H19" s="2"/>
      <c r="I19" s="1"/>
    </row>
    <row r="20" spans="1:9" x14ac:dyDescent="0.3">
      <c r="A20" s="1" t="s">
        <v>26</v>
      </c>
      <c r="B20" s="16"/>
      <c r="C20" s="15"/>
      <c r="D20" s="2"/>
      <c r="E20" s="1"/>
      <c r="F20" s="16">
        <v>250</v>
      </c>
      <c r="G20" s="17">
        <v>46270</v>
      </c>
      <c r="H20" s="2"/>
      <c r="I20" s="1"/>
    </row>
    <row r="21" spans="1:9" x14ac:dyDescent="0.3">
      <c r="A21" s="1" t="s">
        <v>27</v>
      </c>
      <c r="B21" s="16"/>
      <c r="C21" s="15"/>
      <c r="D21" s="2"/>
      <c r="E21" s="1"/>
      <c r="F21" s="16">
        <v>250</v>
      </c>
      <c r="G21" s="17">
        <v>46299</v>
      </c>
      <c r="H21" s="2"/>
      <c r="I21" s="1"/>
    </row>
    <row r="22" spans="1:9" x14ac:dyDescent="0.3">
      <c r="A22" s="1" t="s">
        <v>28</v>
      </c>
      <c r="B22" s="16"/>
      <c r="C22" s="15"/>
      <c r="D22" s="2"/>
      <c r="E22" s="1"/>
      <c r="F22" s="16"/>
      <c r="G22" s="15"/>
      <c r="H22" s="2"/>
      <c r="I22" s="1"/>
    </row>
    <row r="23" spans="1:9" x14ac:dyDescent="0.3">
      <c r="A23" s="1" t="s">
        <v>29</v>
      </c>
      <c r="B23" s="16"/>
      <c r="C23" s="15"/>
      <c r="D23" s="2"/>
      <c r="E23" s="1"/>
      <c r="F23" s="16"/>
      <c r="G23" s="15"/>
      <c r="H23" s="2"/>
      <c r="I23" s="1"/>
    </row>
    <row r="24" spans="1:9" x14ac:dyDescent="0.3">
      <c r="A24" s="1" t="s">
        <v>30</v>
      </c>
      <c r="B24" s="16"/>
      <c r="C24" s="15"/>
      <c r="D24" s="2"/>
      <c r="E24" s="1"/>
      <c r="F24" s="16"/>
      <c r="G24" s="15"/>
      <c r="H24" s="2"/>
      <c r="I24" s="1"/>
    </row>
    <row r="25" spans="1:9" x14ac:dyDescent="0.3">
      <c r="A25" s="1" t="s">
        <v>31</v>
      </c>
      <c r="B25" s="16"/>
      <c r="C25" s="15"/>
      <c r="D25" s="2"/>
      <c r="E25" s="1"/>
      <c r="F25" s="16"/>
      <c r="G25" s="15"/>
      <c r="H25" s="2"/>
      <c r="I25" s="1"/>
    </row>
    <row r="26" spans="1:9" x14ac:dyDescent="0.3">
      <c r="A26" s="1" t="s">
        <v>32</v>
      </c>
      <c r="B26" s="16"/>
      <c r="C26" s="15"/>
      <c r="D26" s="2"/>
      <c r="E26" s="1"/>
      <c r="F26" s="16"/>
      <c r="G26" s="15"/>
      <c r="H26" s="2"/>
      <c r="I26" s="1"/>
    </row>
    <row r="27" spans="1:9" x14ac:dyDescent="0.3">
      <c r="A27" s="1" t="s">
        <v>33</v>
      </c>
      <c r="B27" s="16"/>
      <c r="C27" s="15"/>
      <c r="D27" s="2"/>
      <c r="E27" s="1"/>
      <c r="F27" s="16"/>
      <c r="G27" s="15"/>
      <c r="H27" s="2"/>
      <c r="I27" s="1"/>
    </row>
    <row r="28" spans="1:9" x14ac:dyDescent="0.3">
      <c r="A28" s="1" t="s">
        <v>34</v>
      </c>
      <c r="B28" s="16"/>
      <c r="C28" s="15"/>
      <c r="D28" s="2"/>
      <c r="E28" s="1"/>
      <c r="F28" s="16"/>
      <c r="G28" s="15"/>
      <c r="H28" s="2"/>
      <c r="I28" s="1"/>
    </row>
    <row r="29" spans="1:9" x14ac:dyDescent="0.3">
      <c r="A29" s="1" t="s">
        <v>35</v>
      </c>
      <c r="B29" s="16"/>
      <c r="C29" s="15"/>
      <c r="D29" s="2"/>
      <c r="E29" s="1"/>
      <c r="F29" s="16"/>
      <c r="G29" s="15"/>
      <c r="H29" s="2"/>
      <c r="I29" s="1"/>
    </row>
    <row r="30" spans="1:9" x14ac:dyDescent="0.3">
      <c r="A30" s="1" t="s">
        <v>36</v>
      </c>
      <c r="B30" s="16"/>
      <c r="C30" s="15"/>
      <c r="D30" s="2"/>
      <c r="E30" s="1"/>
      <c r="F30" s="16"/>
      <c r="G30" s="15"/>
      <c r="H30" s="2"/>
      <c r="I30" s="1"/>
    </row>
    <row r="31" spans="1:9" x14ac:dyDescent="0.3">
      <c r="A31" s="1" t="s">
        <v>37</v>
      </c>
      <c r="B31" s="16"/>
      <c r="C31" s="15"/>
      <c r="D31" s="2"/>
      <c r="E31" s="1"/>
      <c r="F31" s="16"/>
      <c r="G31" s="15"/>
      <c r="H31" s="2"/>
      <c r="I31" s="1"/>
    </row>
    <row r="32" spans="1:9" x14ac:dyDescent="0.3">
      <c r="A32" s="1" t="s">
        <v>38</v>
      </c>
      <c r="B32" s="16"/>
      <c r="C32" s="15"/>
      <c r="D32" s="2"/>
      <c r="E32" s="1"/>
      <c r="F32" s="16"/>
      <c r="G32" s="15"/>
      <c r="H32" s="2"/>
      <c r="I32" s="1"/>
    </row>
    <row r="33" spans="1:9" x14ac:dyDescent="0.3">
      <c r="A33" s="1" t="s">
        <v>39</v>
      </c>
      <c r="B33" s="16"/>
      <c r="C33" s="15"/>
      <c r="D33" s="2"/>
      <c r="E33" s="1"/>
      <c r="F33" s="16"/>
      <c r="G33" s="15"/>
      <c r="H33" s="2"/>
      <c r="I33" s="1"/>
    </row>
    <row r="34" spans="1:9" x14ac:dyDescent="0.3">
      <c r="A34" s="18" t="s">
        <v>42</v>
      </c>
      <c r="B34" s="19">
        <v>-531.74</v>
      </c>
      <c r="C34" s="20">
        <v>45971</v>
      </c>
      <c r="D34" s="13">
        <v>-531.74</v>
      </c>
      <c r="E34" s="21">
        <v>45971</v>
      </c>
      <c r="F34" s="19">
        <v>-531.74</v>
      </c>
      <c r="G34" s="20">
        <v>45971</v>
      </c>
      <c r="H34" s="13">
        <v>-531.74</v>
      </c>
      <c r="I34" s="21">
        <v>45971</v>
      </c>
    </row>
    <row r="35" spans="1:9" x14ac:dyDescent="0.3">
      <c r="A35" s="18" t="s">
        <v>43</v>
      </c>
      <c r="B35" s="19">
        <v>-116.02</v>
      </c>
      <c r="C35" s="20">
        <v>46034</v>
      </c>
      <c r="D35" s="13">
        <v>-116.02</v>
      </c>
      <c r="E35" s="21">
        <v>46034</v>
      </c>
      <c r="F35" s="19">
        <v>-224.29</v>
      </c>
      <c r="G35" s="20">
        <v>46034</v>
      </c>
      <c r="H35" s="13">
        <v>-224.29</v>
      </c>
      <c r="I35" s="21">
        <v>46034</v>
      </c>
    </row>
    <row r="36" spans="1:9" x14ac:dyDescent="0.3">
      <c r="A36" s="18" t="s">
        <v>44</v>
      </c>
      <c r="B36" s="19">
        <v>-81</v>
      </c>
      <c r="C36" s="20">
        <v>46077</v>
      </c>
      <c r="D36" s="13">
        <v>-81</v>
      </c>
      <c r="E36" s="22">
        <v>46077</v>
      </c>
      <c r="F36" s="19">
        <v>-81</v>
      </c>
      <c r="G36" s="22">
        <v>46077</v>
      </c>
      <c r="H36" s="13">
        <v>-81</v>
      </c>
      <c r="I36" s="22">
        <v>46077</v>
      </c>
    </row>
    <row r="37" spans="1:9" ht="15.6" x14ac:dyDescent="0.3">
      <c r="A37" s="25" t="s">
        <v>0</v>
      </c>
      <c r="B37" s="28">
        <f>SUM(B7:B36)</f>
        <v>82.080000000000041</v>
      </c>
      <c r="C37" s="26"/>
      <c r="D37" s="28">
        <f>SUM(D7:D36)</f>
        <v>771.24</v>
      </c>
      <c r="E37" s="26"/>
      <c r="F37" s="28">
        <f>SUM(F7:F36)</f>
        <v>2912.9700000000003</v>
      </c>
      <c r="G37" s="26"/>
      <c r="H37" s="28">
        <f>SUM(H7:H36)</f>
        <v>62.97</v>
      </c>
      <c r="I37" s="27"/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98376-7D2B-41FD-B29D-0004800BE28F}">
  <dimension ref="A1:F1"/>
  <sheetViews>
    <sheetView workbookViewId="0">
      <selection activeCell="C29" sqref="C29"/>
    </sheetView>
  </sheetViews>
  <sheetFormatPr defaultRowHeight="14.4" x14ac:dyDescent="0.3"/>
  <cols>
    <col min="1" max="1" width="20.109375" customWidth="1"/>
    <col min="2" max="2" width="11.6640625" bestFit="1" customWidth="1"/>
    <col min="3" max="3" width="20.109375" bestFit="1" customWidth="1"/>
    <col min="4" max="4" width="10.6640625" bestFit="1" customWidth="1"/>
    <col min="5" max="5" width="13.109375" customWidth="1"/>
    <col min="6" max="6" width="12.109375" bestFit="1" customWidth="1"/>
  </cols>
  <sheetData>
    <row r="1" spans="1:6" x14ac:dyDescent="0.3">
      <c r="A1" t="s">
        <v>13</v>
      </c>
      <c r="B1" s="9">
        <v>12000</v>
      </c>
      <c r="C1" t="s">
        <v>14</v>
      </c>
      <c r="D1" s="9">
        <v>4000</v>
      </c>
      <c r="E1" t="s">
        <v>15</v>
      </c>
      <c r="F1" s="10">
        <f>Caixinha!B3</f>
        <v>3829.26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9BE47-FD64-4306-A175-03DC79B2FF10}">
  <dimension ref="A1:G14"/>
  <sheetViews>
    <sheetView workbookViewId="0">
      <selection activeCell="B8" sqref="B8"/>
    </sheetView>
  </sheetViews>
  <sheetFormatPr defaultRowHeight="14.4" x14ac:dyDescent="0.3"/>
  <cols>
    <col min="1" max="1" width="15.6640625" bestFit="1" customWidth="1"/>
    <col min="2" max="2" width="12.109375" bestFit="1" customWidth="1"/>
    <col min="4" max="5" width="11.88671875" bestFit="1" customWidth="1"/>
    <col min="7" max="7" width="11.88671875" bestFit="1" customWidth="1"/>
  </cols>
  <sheetData>
    <row r="1" spans="1:7" x14ac:dyDescent="0.3">
      <c r="A1" t="s">
        <v>16</v>
      </c>
    </row>
    <row r="2" spans="1:7" x14ac:dyDescent="0.3">
      <c r="A2" t="str">
        <f>Caixinha!B6</f>
        <v>1. Dani</v>
      </c>
      <c r="B2" s="10">
        <f>Caixinha!B37</f>
        <v>82.080000000000041</v>
      </c>
      <c r="D2" s="10"/>
      <c r="E2" s="10"/>
    </row>
    <row r="3" spans="1:7" x14ac:dyDescent="0.3">
      <c r="A3" t="str">
        <f>Caixinha!D6</f>
        <v>2. Manu</v>
      </c>
      <c r="B3" s="10">
        <f>Caixinha!D37</f>
        <v>771.24</v>
      </c>
      <c r="D3" s="10"/>
      <c r="E3" s="10"/>
    </row>
    <row r="4" spans="1:7" x14ac:dyDescent="0.3">
      <c r="A4" t="str">
        <f>Caixinha!F6</f>
        <v>3. Julia</v>
      </c>
      <c r="B4" s="10">
        <f>Caixinha!F37</f>
        <v>2912.9700000000003</v>
      </c>
      <c r="D4" s="10"/>
    </row>
    <row r="5" spans="1:7" x14ac:dyDescent="0.3">
      <c r="A5" t="str">
        <f>Caixinha!H6</f>
        <v>4. Rodrigo</v>
      </c>
      <c r="B5" s="10">
        <f>Caixinha!H37</f>
        <v>62.97</v>
      </c>
      <c r="D5" s="10"/>
      <c r="E5" s="10"/>
    </row>
    <row r="6" spans="1:7" x14ac:dyDescent="0.3">
      <c r="A6" t="s">
        <v>24</v>
      </c>
      <c r="B6" s="10">
        <f>Caixinha!E3</f>
        <v>287.48999999999978</v>
      </c>
      <c r="D6" s="10"/>
      <c r="E6" s="10"/>
    </row>
    <row r="7" spans="1:7" x14ac:dyDescent="0.3">
      <c r="A7" t="s">
        <v>0</v>
      </c>
      <c r="B7" s="10">
        <f>SUM(B2:B6)</f>
        <v>4116.75</v>
      </c>
      <c r="D7" s="10"/>
      <c r="E7" s="10"/>
    </row>
    <row r="8" spans="1:7" x14ac:dyDescent="0.3">
      <c r="D8" s="10"/>
    </row>
    <row r="10" spans="1:7" x14ac:dyDescent="0.3">
      <c r="D10" s="10"/>
    </row>
    <row r="12" spans="1:7" x14ac:dyDescent="0.3">
      <c r="G12" s="12"/>
    </row>
    <row r="13" spans="1:7" x14ac:dyDescent="0.3">
      <c r="G13" s="10"/>
    </row>
    <row r="14" spans="1:7" x14ac:dyDescent="0.3">
      <c r="G14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Caixinha</vt:lpstr>
      <vt:lpstr>Meta</vt:lpstr>
      <vt:lpstr>Soma Saldo</vt:lpstr>
    </vt:vector>
  </TitlesOfParts>
  <Company>policia cientifica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Oliveira Bianchini</dc:creator>
  <cp:lastModifiedBy>Rodrigo Bianchini</cp:lastModifiedBy>
  <dcterms:created xsi:type="dcterms:W3CDTF">2024-07-08T13:18:59Z</dcterms:created>
  <dcterms:modified xsi:type="dcterms:W3CDTF">2026-10-04T12:01:04Z</dcterms:modified>
</cp:coreProperties>
</file>